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TSCOTT.S01458\Downloads\"/>
    </mc:Choice>
  </mc:AlternateContent>
  <xr:revisionPtr revIDLastSave="0" documentId="8_{C34E86EF-5FCA-46B3-B358-AA43F6E407F3}" xr6:coauthVersionLast="47" xr6:coauthVersionMax="47" xr10:uidLastSave="{00000000-0000-0000-0000-000000000000}"/>
  <workbookProtection workbookPassword="DAC3" lockStructure="1"/>
  <bookViews>
    <workbookView xWindow="-120" yWindow="-120" windowWidth="29040" windowHeight="15840" xr2:uid="{00000000-000D-0000-FFFF-FFFF00000000}"/>
  </bookViews>
  <sheets>
    <sheet name="Sheet3" sheetId="3" r:id="rId1"/>
  </sheets>
  <definedNames>
    <definedName name="_xlnm.Print_Area" localSheetId="0">Sheet3!$A$1:$J$21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" i="3" l="1"/>
  <c r="G11" i="3"/>
  <c r="J18" i="3" l="1"/>
  <c r="J19" i="3" s="1"/>
  <c r="G16" i="3"/>
  <c r="G17" i="3" s="1"/>
  <c r="C11" i="3"/>
  <c r="C18" i="3" s="1"/>
  <c r="D11" i="3"/>
  <c r="D18" i="3" s="1"/>
  <c r="D19" i="3" s="1"/>
  <c r="E10" i="3"/>
  <c r="E8" i="3"/>
  <c r="E7" i="3"/>
  <c r="E15" i="3"/>
  <c r="E14" i="3"/>
  <c r="E13" i="3"/>
  <c r="E9" i="3"/>
  <c r="J16" i="3" l="1"/>
  <c r="J17" i="3" s="1"/>
  <c r="G18" i="3"/>
  <c r="G19" i="3" s="1"/>
  <c r="E11" i="3"/>
  <c r="E16" i="3" s="1"/>
  <c r="C19" i="3"/>
  <c r="E18" i="3"/>
  <c r="E19" i="3" s="1"/>
  <c r="D16" i="3"/>
  <c r="D17" i="3" s="1"/>
  <c r="C16" i="3"/>
  <c r="C17" i="3" s="1"/>
  <c r="E17" i="3" l="1"/>
</calcChain>
</file>

<file path=xl/sharedStrings.xml><?xml version="1.0" encoding="utf-8"?>
<sst xmlns="http://schemas.openxmlformats.org/spreadsheetml/2006/main" count="68" uniqueCount="46">
  <si>
    <t>Division 24</t>
  </si>
  <si>
    <t>Meat</t>
  </si>
  <si>
    <t>Dept. 93</t>
  </si>
  <si>
    <t>Dept. 80</t>
  </si>
  <si>
    <t>Deli</t>
  </si>
  <si>
    <t>Total</t>
  </si>
  <si>
    <t>Division 25</t>
  </si>
  <si>
    <t>Produce</t>
  </si>
  <si>
    <t>Division 27</t>
  </si>
  <si>
    <t>Bakery</t>
  </si>
  <si>
    <t>Warehouse Truck Invoices(Cost)</t>
  </si>
  <si>
    <t>Insurance Claims(Cost)</t>
  </si>
  <si>
    <t>Gross Profit $</t>
  </si>
  <si>
    <t>Gross Profit %</t>
  </si>
  <si>
    <t>Dept. 94</t>
  </si>
  <si>
    <t>Dept. 98</t>
  </si>
  <si>
    <t>Beginning Inventory</t>
  </si>
  <si>
    <t>Store:</t>
  </si>
  <si>
    <t>Date:</t>
  </si>
  <si>
    <t>Cost Inventory</t>
  </si>
  <si>
    <t xml:space="preserve">Purchases (Cost) </t>
  </si>
  <si>
    <t>Purchases (Cost)</t>
  </si>
  <si>
    <t>Sales (Retail)</t>
  </si>
  <si>
    <t>+</t>
  </si>
  <si>
    <t>=</t>
  </si>
  <si>
    <t>Ending inv</t>
  </si>
  <si>
    <t>COGS</t>
  </si>
  <si>
    <t>Start w/ Beginning Inventory</t>
  </si>
  <si>
    <t>Sales</t>
  </si>
  <si>
    <t>—</t>
  </si>
  <si>
    <t>Sales - COGS</t>
  </si>
  <si>
    <t>GP$/Sales</t>
  </si>
  <si>
    <t>Claims(Cost)</t>
  </si>
  <si>
    <t>Store inputs the #</t>
  </si>
  <si>
    <t>Auto calculated</t>
  </si>
  <si>
    <t>*</t>
  </si>
  <si>
    <t>Sales, Beginning Inventory, &amp; Purchases (Cost) are found on the ITR</t>
  </si>
  <si>
    <t>Ending Inventory (Cost)</t>
  </si>
  <si>
    <t>counted (salesfloor &amp; backroom)</t>
  </si>
  <si>
    <r>
      <rPr>
        <b/>
        <i/>
        <sz val="12"/>
        <color indexed="10"/>
        <rFont val="Calibri"/>
        <family val="2"/>
      </rPr>
      <t>Estimated</t>
    </r>
    <r>
      <rPr>
        <b/>
        <sz val="11"/>
        <color indexed="10"/>
        <rFont val="Calibri"/>
        <family val="2"/>
      </rPr>
      <t xml:space="preserve"> </t>
    </r>
    <r>
      <rPr>
        <b/>
        <sz val="11"/>
        <rFont val="Calibri"/>
        <family val="2"/>
      </rPr>
      <t>Gross Profit:</t>
    </r>
  </si>
  <si>
    <t>Meat/Seafood</t>
  </si>
  <si>
    <t>Updated</t>
  </si>
  <si>
    <t>All Formats</t>
  </si>
  <si>
    <t>Fuel Station/Convenience</t>
  </si>
  <si>
    <r>
      <t xml:space="preserve">Total from </t>
    </r>
    <r>
      <rPr>
        <sz val="11"/>
        <color rgb="FF0066FF"/>
        <rFont val="Calibri"/>
        <family val="2"/>
        <scheme val="minor"/>
      </rPr>
      <t>Cost Inventory App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(Cost)</t>
    </r>
  </si>
  <si>
    <r>
      <t xml:space="preserve">Total from </t>
    </r>
    <r>
      <rPr>
        <sz val="11"/>
        <color rgb="FF0066FF"/>
        <rFont val="Calibri"/>
        <family val="2"/>
        <scheme val="minor"/>
      </rPr>
      <t>Cost Inventory App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(Cost)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</si>
</sst>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i/>
      <sz val="12"/>
      <color indexed="1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rgb="FF0066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Protection="1"/>
    <xf numFmtId="0" fontId="8" fillId="0" borderId="0" xfId="0" applyFont="1" applyAlignment="1" applyProtection="1">
      <alignment horizontal="center" vertical="center" wrapText="1"/>
    </xf>
    <xf numFmtId="0" fontId="9" fillId="0" borderId="0" xfId="0" quotePrefix="1" applyFont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0" fillId="0" borderId="11" xfId="0" applyFont="1" applyBorder="1" applyAlignment="1" applyProtection="1">
      <alignment vertical="center" wrapText="1"/>
    </xf>
    <xf numFmtId="0" fontId="5" fillId="0" borderId="7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13" xfId="0" applyBorder="1" applyAlignment="1" applyProtection="1">
      <alignment vertical="center" wrapText="1"/>
    </xf>
    <xf numFmtId="0" fontId="0" fillId="2" borderId="0" xfId="0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17" xfId="0" applyBorder="1" applyAlignment="1" applyProtection="1">
      <alignment vertical="center"/>
    </xf>
    <xf numFmtId="0" fontId="0" fillId="0" borderId="6" xfId="0" applyFill="1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5" xfId="0" applyBorder="1" applyAlignment="1" applyProtection="1">
      <alignment vertical="center"/>
    </xf>
    <xf numFmtId="0" fontId="5" fillId="0" borderId="10" xfId="0" applyFont="1" applyBorder="1" applyAlignment="1" applyProtection="1">
      <alignment horizontal="center" vertical="center"/>
    </xf>
    <xf numFmtId="0" fontId="7" fillId="4" borderId="9" xfId="0" applyFont="1" applyFill="1" applyBorder="1" applyAlignment="1" applyProtection="1">
      <alignment vertical="center"/>
    </xf>
    <xf numFmtId="0" fontId="0" fillId="4" borderId="11" xfId="0" applyFill="1" applyBorder="1" applyAlignment="1" applyProtection="1">
      <alignment vertical="center"/>
    </xf>
    <xf numFmtId="0" fontId="5" fillId="0" borderId="12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164" fontId="0" fillId="3" borderId="15" xfId="0" applyNumberFormat="1" applyFill="1" applyBorder="1" applyAlignment="1" applyProtection="1">
      <alignment vertical="center"/>
    </xf>
    <xf numFmtId="164" fontId="0" fillId="3" borderId="11" xfId="0" applyNumberFormat="1" applyFill="1" applyBorder="1" applyAlignment="1" applyProtection="1">
      <alignment vertical="center"/>
    </xf>
    <xf numFmtId="0" fontId="11" fillId="0" borderId="16" xfId="0" applyFont="1" applyFill="1" applyBorder="1" applyAlignment="1" applyProtection="1">
      <alignment horizontal="center" vertical="center" wrapText="1"/>
    </xf>
    <xf numFmtId="164" fontId="0" fillId="2" borderId="3" xfId="0" applyNumberFormat="1" applyFill="1" applyBorder="1" applyAlignment="1" applyProtection="1">
      <alignment vertical="center"/>
      <protection locked="0"/>
    </xf>
    <xf numFmtId="164" fontId="0" fillId="3" borderId="7" xfId="0" applyNumberFormat="1" applyFill="1" applyBorder="1" applyAlignment="1" applyProtection="1">
      <alignment vertical="center"/>
    </xf>
    <xf numFmtId="164" fontId="0" fillId="2" borderId="7" xfId="0" applyNumberFormat="1" applyFill="1" applyBorder="1" applyAlignment="1" applyProtection="1">
      <alignment vertical="center"/>
      <protection locked="0"/>
    </xf>
    <xf numFmtId="164" fontId="0" fillId="2" borderId="1" xfId="0" applyNumberFormat="1" applyFill="1" applyBorder="1" applyAlignment="1" applyProtection="1">
      <alignment vertical="center"/>
      <protection locked="0"/>
    </xf>
    <xf numFmtId="164" fontId="0" fillId="3" borderId="1" xfId="0" applyNumberFormat="1" applyFill="1" applyBorder="1" applyAlignment="1" applyProtection="1">
      <alignment vertical="center"/>
    </xf>
    <xf numFmtId="164" fontId="0" fillId="2" borderId="13" xfId="0" applyNumberFormat="1" applyFill="1" applyBorder="1" applyAlignment="1" applyProtection="1">
      <alignment vertical="center"/>
      <protection locked="0"/>
    </xf>
    <xf numFmtId="0" fontId="0" fillId="0" borderId="13" xfId="0" applyBorder="1" applyAlignment="1" applyProtection="1">
      <alignment vertical="center"/>
    </xf>
    <xf numFmtId="164" fontId="0" fillId="3" borderId="13" xfId="0" applyNumberFormat="1" applyFill="1" applyBorder="1" applyAlignment="1" applyProtection="1">
      <alignment vertical="center"/>
    </xf>
    <xf numFmtId="0" fontId="0" fillId="0" borderId="11" xfId="0" applyBorder="1" applyAlignment="1" applyProtection="1">
      <alignment vertical="center" wrapText="1"/>
    </xf>
    <xf numFmtId="10" fontId="0" fillId="3" borderId="15" xfId="0" applyNumberFormat="1" applyFill="1" applyBorder="1" applyAlignment="1" applyProtection="1">
      <alignment vertical="center"/>
    </xf>
    <xf numFmtId="10" fontId="0" fillId="3" borderId="11" xfId="0" applyNumberFormat="1" applyFill="1" applyBorder="1" applyAlignment="1" applyProtection="1">
      <alignment vertical="center"/>
    </xf>
    <xf numFmtId="0" fontId="16" fillId="0" borderId="0" xfId="0" applyFont="1" applyFill="1" applyBorder="1" applyAlignment="1" applyProtection="1">
      <alignment vertical="center"/>
    </xf>
    <xf numFmtId="164" fontId="0" fillId="2" borderId="2" xfId="0" applyNumberFormat="1" applyFill="1" applyBorder="1" applyAlignment="1" applyProtection="1">
      <alignment vertical="center"/>
      <protection locked="0"/>
    </xf>
    <xf numFmtId="164" fontId="7" fillId="4" borderId="14" xfId="0" applyNumberFormat="1" applyFont="1" applyFill="1" applyBorder="1" applyAlignment="1" applyProtection="1">
      <alignment vertical="center"/>
    </xf>
    <xf numFmtId="0" fontId="0" fillId="4" borderId="13" xfId="0" applyFill="1" applyBorder="1" applyAlignment="1" applyProtection="1">
      <alignment vertical="center" wrapText="1"/>
    </xf>
    <xf numFmtId="164" fontId="0" fillId="4" borderId="4" xfId="0" applyNumberFormat="1" applyFill="1" applyBorder="1" applyAlignment="1" applyProtection="1">
      <alignment vertical="center"/>
    </xf>
    <xf numFmtId="164" fontId="0" fillId="4" borderId="13" xfId="0" applyNumberFormat="1" applyFill="1" applyBorder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14" fillId="0" borderId="0" xfId="0" applyFont="1" applyAlignment="1" applyProtection="1">
      <alignment vertical="center"/>
    </xf>
    <xf numFmtId="14" fontId="0" fillId="0" borderId="0" xfId="0" applyNumberFormat="1" applyAlignment="1" applyProtection="1">
      <alignment vertical="center"/>
    </xf>
    <xf numFmtId="0" fontId="15" fillId="0" borderId="26" xfId="0" applyFont="1" applyFill="1" applyBorder="1" applyAlignment="1" applyProtection="1">
      <alignment horizontal="center" vertical="center"/>
    </xf>
    <xf numFmtId="0" fontId="0" fillId="0" borderId="18" xfId="0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14" fontId="0" fillId="0" borderId="16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25" xfId="0" applyBorder="1" applyAlignment="1" applyProtection="1">
      <alignment horizontal="center" vertical="center"/>
    </xf>
    <xf numFmtId="0" fontId="0" fillId="0" borderId="19" xfId="0" applyBorder="1" applyAlignment="1" applyProtection="1">
      <alignment vertical="center"/>
    </xf>
    <xf numFmtId="0" fontId="0" fillId="0" borderId="12" xfId="0" applyBorder="1" applyAlignment="1" applyProtection="1">
      <alignment vertical="center"/>
    </xf>
    <xf numFmtId="0" fontId="5" fillId="0" borderId="20" xfId="0" applyFont="1" applyBorder="1" applyAlignment="1" applyProtection="1">
      <alignment vertical="center"/>
    </xf>
    <xf numFmtId="0" fontId="5" fillId="0" borderId="21" xfId="0" applyFont="1" applyBorder="1" applyAlignment="1" applyProtection="1">
      <alignment vertical="center"/>
    </xf>
    <xf numFmtId="0" fontId="0" fillId="4" borderId="22" xfId="0" applyFill="1" applyBorder="1" applyAlignment="1" applyProtection="1">
      <alignment horizontal="center" vertical="center"/>
    </xf>
    <xf numFmtId="0" fontId="0" fillId="4" borderId="23" xfId="0" applyFill="1" applyBorder="1" applyAlignment="1" applyProtection="1">
      <alignment horizontal="center" vertical="center"/>
    </xf>
    <xf numFmtId="0" fontId="0" fillId="0" borderId="18" xfId="0" applyBorder="1" applyAlignment="1" applyProtection="1">
      <alignment vertical="center" wrapText="1"/>
    </xf>
    <xf numFmtId="0" fontId="0" fillId="0" borderId="4" xfId="0" applyBorder="1" applyAlignment="1" applyProtection="1">
      <alignment vertical="center" wrapText="1"/>
    </xf>
    <xf numFmtId="0" fontId="0" fillId="0" borderId="24" xfId="0" applyBorder="1" applyAlignment="1" applyProtection="1">
      <alignment vertical="center"/>
    </xf>
    <xf numFmtId="0" fontId="0" fillId="0" borderId="5" xfId="0" applyBorder="1" applyAlignment="1" applyProtection="1">
      <alignment vertical="center"/>
    </xf>
    <xf numFmtId="0" fontId="0" fillId="4" borderId="18" xfId="0" applyFill="1" applyBorder="1" applyAlignment="1" applyProtection="1">
      <alignment vertical="center" wrapText="1"/>
    </xf>
    <xf numFmtId="0" fontId="0" fillId="4" borderId="4" xfId="0" applyFill="1" applyBorder="1" applyAlignment="1" applyProtection="1">
      <alignment vertical="center" wrapText="1"/>
    </xf>
    <xf numFmtId="0" fontId="10" fillId="0" borderId="19" xfId="0" applyFont="1" applyBorder="1" applyAlignment="1" applyProtection="1">
      <alignment vertical="center" wrapText="1"/>
    </xf>
    <xf numFmtId="0" fontId="10" fillId="0" borderId="12" xfId="0" applyFont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Normal="100" workbookViewId="0">
      <selection activeCell="J7" sqref="J7:J9"/>
    </sheetView>
  </sheetViews>
  <sheetFormatPr defaultColWidth="9.140625" defaultRowHeight="15" x14ac:dyDescent="0.25"/>
  <cols>
    <col min="1" max="1" width="12" style="1" customWidth="1"/>
    <col min="2" max="2" width="18.7109375" style="1" customWidth="1"/>
    <col min="3" max="3" width="13.85546875" style="1" bestFit="1" customWidth="1"/>
    <col min="4" max="5" width="9.140625" style="1"/>
    <col min="6" max="6" width="16" style="1" customWidth="1"/>
    <col min="7" max="7" width="9.140625" style="1"/>
    <col min="8" max="8" width="9" style="1" customWidth="1"/>
    <col min="9" max="9" width="7.5703125" style="1" customWidth="1"/>
    <col min="10" max="12" width="9.140625" style="1"/>
    <col min="13" max="13" width="23.42578125" style="1" customWidth="1"/>
    <col min="14" max="14" width="10.42578125" style="1" customWidth="1"/>
    <col min="15" max="15" width="9.7109375" style="1" customWidth="1"/>
    <col min="16" max="16" width="11.28515625" style="1" customWidth="1"/>
    <col min="17" max="17" width="15" style="1" customWidth="1"/>
    <col min="18" max="16384" width="9.140625" style="1"/>
  </cols>
  <sheetData>
    <row r="1" spans="1:10" ht="24" thickBot="1" x14ac:dyDescent="0.3">
      <c r="A1" s="11"/>
      <c r="B1" s="47" t="s">
        <v>42</v>
      </c>
      <c r="C1" s="47"/>
      <c r="D1" s="47"/>
      <c r="E1" s="47"/>
      <c r="F1" s="47"/>
      <c r="G1" s="38"/>
      <c r="H1" s="38"/>
      <c r="I1" s="38"/>
      <c r="J1" s="38"/>
    </row>
    <row r="2" spans="1:10" ht="15.75" thickBot="1" x14ac:dyDescent="0.3">
      <c r="A2" s="11"/>
      <c r="B2" s="52" t="s">
        <v>19</v>
      </c>
      <c r="C2" s="53"/>
      <c r="D2" s="53"/>
      <c r="E2" s="53"/>
      <c r="F2" s="54"/>
      <c r="G2" s="10" t="s">
        <v>33</v>
      </c>
      <c r="H2" s="10"/>
      <c r="I2" s="11"/>
      <c r="J2" s="11"/>
    </row>
    <row r="3" spans="1:10" ht="15.75" thickBot="1" x14ac:dyDescent="0.3">
      <c r="A3" s="11"/>
      <c r="B3" s="12" t="s">
        <v>17</v>
      </c>
      <c r="C3" s="13"/>
      <c r="D3" s="14" t="s">
        <v>18</v>
      </c>
      <c r="E3" s="50"/>
      <c r="F3" s="51"/>
      <c r="G3" s="15" t="s">
        <v>34</v>
      </c>
      <c r="H3" s="15"/>
      <c r="I3" s="11"/>
      <c r="J3" s="11"/>
    </row>
    <row r="4" spans="1:10" ht="9.6" customHeight="1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5">
      <c r="A5" s="11"/>
      <c r="B5" s="7" t="s">
        <v>0</v>
      </c>
      <c r="C5" s="16" t="s">
        <v>2</v>
      </c>
      <c r="D5" s="16" t="s">
        <v>3</v>
      </c>
      <c r="E5" s="17" t="s">
        <v>5</v>
      </c>
      <c r="F5" s="7" t="s">
        <v>6</v>
      </c>
      <c r="G5" s="18" t="s">
        <v>14</v>
      </c>
      <c r="H5" s="57" t="s">
        <v>8</v>
      </c>
      <c r="I5" s="58"/>
      <c r="J5" s="17" t="s">
        <v>15</v>
      </c>
    </row>
    <row r="6" spans="1:10" ht="15.75" thickBot="1" x14ac:dyDescent="0.3">
      <c r="A6" s="11"/>
      <c r="B6" s="8" t="s">
        <v>1</v>
      </c>
      <c r="C6" s="19" t="s">
        <v>40</v>
      </c>
      <c r="D6" s="19" t="s">
        <v>4</v>
      </c>
      <c r="E6" s="20"/>
      <c r="F6" s="21"/>
      <c r="G6" s="22" t="s">
        <v>7</v>
      </c>
      <c r="H6" s="59"/>
      <c r="I6" s="60"/>
      <c r="J6" s="23" t="s">
        <v>9</v>
      </c>
    </row>
    <row r="7" spans="1:10" ht="45" x14ac:dyDescent="0.25">
      <c r="A7" s="2" t="s">
        <v>38</v>
      </c>
      <c r="B7" s="9" t="s">
        <v>44</v>
      </c>
      <c r="C7" s="39"/>
      <c r="D7" s="39"/>
      <c r="E7" s="34">
        <f>SUM(C7:D7)</f>
        <v>0</v>
      </c>
      <c r="F7" s="9" t="s">
        <v>44</v>
      </c>
      <c r="G7" s="39"/>
      <c r="H7" s="61" t="s">
        <v>45</v>
      </c>
      <c r="I7" s="62"/>
      <c r="J7" s="29"/>
    </row>
    <row r="8" spans="1:10" ht="45" x14ac:dyDescent="0.25">
      <c r="A8" s="3" t="s">
        <v>23</v>
      </c>
      <c r="B8" s="9" t="s">
        <v>10</v>
      </c>
      <c r="C8" s="39"/>
      <c r="D8" s="39"/>
      <c r="E8" s="34">
        <f>SUM(C8:D8)</f>
        <v>0</v>
      </c>
      <c r="F8" s="9" t="s">
        <v>10</v>
      </c>
      <c r="G8" s="39"/>
      <c r="H8" s="61" t="s">
        <v>10</v>
      </c>
      <c r="I8" s="62"/>
      <c r="J8" s="32"/>
    </row>
    <row r="9" spans="1:10" ht="39" customHeight="1" x14ac:dyDescent="0.25">
      <c r="A9" s="3" t="s">
        <v>23</v>
      </c>
      <c r="B9" s="9" t="s">
        <v>32</v>
      </c>
      <c r="C9" s="39"/>
      <c r="D9" s="39"/>
      <c r="E9" s="34">
        <f>SUM(C9:D9)</f>
        <v>0</v>
      </c>
      <c r="F9" s="9" t="s">
        <v>11</v>
      </c>
      <c r="G9" s="39"/>
      <c r="H9" s="61" t="s">
        <v>11</v>
      </c>
      <c r="I9" s="62"/>
      <c r="J9" s="32"/>
    </row>
    <row r="10" spans="1:10" ht="45" x14ac:dyDescent="0.25">
      <c r="A10" s="3" t="s">
        <v>23</v>
      </c>
      <c r="B10" s="9" t="s">
        <v>43</v>
      </c>
      <c r="C10" s="40"/>
      <c r="D10" s="39"/>
      <c r="E10" s="34">
        <f>D10</f>
        <v>0</v>
      </c>
      <c r="F10" s="41"/>
      <c r="G10" s="42"/>
      <c r="H10" s="65"/>
      <c r="I10" s="66"/>
      <c r="J10" s="43"/>
    </row>
    <row r="11" spans="1:10" ht="48" thickBot="1" x14ac:dyDescent="0.3">
      <c r="A11" s="3" t="s">
        <v>24</v>
      </c>
      <c r="B11" s="6" t="s">
        <v>37</v>
      </c>
      <c r="C11" s="24">
        <f>C7+C8+C9</f>
        <v>0</v>
      </c>
      <c r="D11" s="24">
        <f>D7+D8+D9+D10</f>
        <v>0</v>
      </c>
      <c r="E11" s="24">
        <f>E7+E8+E9+E10</f>
        <v>0</v>
      </c>
      <c r="F11" s="6" t="s">
        <v>37</v>
      </c>
      <c r="G11" s="24">
        <f>G7+G8+G9</f>
        <v>0</v>
      </c>
      <c r="H11" s="67" t="s">
        <v>37</v>
      </c>
      <c r="I11" s="68"/>
      <c r="J11" s="25">
        <f>J7+J8+J9</f>
        <v>0</v>
      </c>
    </row>
    <row r="12" spans="1:10" ht="15" customHeight="1" thickBot="1" x14ac:dyDescent="0.3">
      <c r="A12" s="11"/>
      <c r="B12" s="26" t="s">
        <v>39</v>
      </c>
      <c r="C12" s="11"/>
      <c r="D12" s="11"/>
      <c r="E12" s="11"/>
      <c r="F12" s="11"/>
      <c r="G12" s="11"/>
      <c r="H12" s="11"/>
      <c r="I12" s="11"/>
      <c r="J12" s="11"/>
    </row>
    <row r="13" spans="1:10" x14ac:dyDescent="0.25">
      <c r="A13" s="11"/>
      <c r="B13" s="17" t="s">
        <v>22</v>
      </c>
      <c r="C13" s="27"/>
      <c r="D13" s="27"/>
      <c r="E13" s="28">
        <f>SUM(C13:D13)</f>
        <v>0</v>
      </c>
      <c r="F13" s="17" t="s">
        <v>28</v>
      </c>
      <c r="G13" s="27"/>
      <c r="H13" s="63" t="s">
        <v>28</v>
      </c>
      <c r="I13" s="64"/>
      <c r="J13" s="29"/>
    </row>
    <row r="14" spans="1:10" ht="36" x14ac:dyDescent="0.25">
      <c r="A14" s="2" t="s">
        <v>27</v>
      </c>
      <c r="B14" s="9" t="s">
        <v>16</v>
      </c>
      <c r="C14" s="30"/>
      <c r="D14" s="30"/>
      <c r="E14" s="31">
        <f>SUM(C14:D14)</f>
        <v>0</v>
      </c>
      <c r="F14" s="9" t="s">
        <v>16</v>
      </c>
      <c r="G14" s="30"/>
      <c r="H14" s="61" t="s">
        <v>16</v>
      </c>
      <c r="I14" s="62"/>
      <c r="J14" s="32"/>
    </row>
    <row r="15" spans="1:10" ht="18.75" x14ac:dyDescent="0.25">
      <c r="A15" s="3" t="s">
        <v>23</v>
      </c>
      <c r="B15" s="33" t="s">
        <v>20</v>
      </c>
      <c r="C15" s="30"/>
      <c r="D15" s="30"/>
      <c r="E15" s="31">
        <f>SUM(C15:D15)</f>
        <v>0</v>
      </c>
      <c r="F15" s="33" t="s">
        <v>21</v>
      </c>
      <c r="G15" s="30"/>
      <c r="H15" s="48" t="s">
        <v>21</v>
      </c>
      <c r="I15" s="49"/>
      <c r="J15" s="32"/>
    </row>
    <row r="16" spans="1:10" x14ac:dyDescent="0.25">
      <c r="A16" s="4" t="s">
        <v>29</v>
      </c>
      <c r="B16" s="33" t="s">
        <v>25</v>
      </c>
      <c r="C16" s="31">
        <f>C11</f>
        <v>0</v>
      </c>
      <c r="D16" s="31">
        <f>D11</f>
        <v>0</v>
      </c>
      <c r="E16" s="31">
        <f>E11</f>
        <v>0</v>
      </c>
      <c r="F16" s="33" t="s">
        <v>25</v>
      </c>
      <c r="G16" s="31">
        <f>G11</f>
        <v>0</v>
      </c>
      <c r="H16" s="48" t="s">
        <v>25</v>
      </c>
      <c r="I16" s="49"/>
      <c r="J16" s="34">
        <f>J11</f>
        <v>0</v>
      </c>
    </row>
    <row r="17" spans="1:10" ht="18.75" x14ac:dyDescent="0.25">
      <c r="A17" s="3" t="s">
        <v>24</v>
      </c>
      <c r="B17" s="33" t="s">
        <v>26</v>
      </c>
      <c r="C17" s="31">
        <f>SUM(C14+C15-C16)</f>
        <v>0</v>
      </c>
      <c r="D17" s="31">
        <f>SUM(D14+D15-D16)</f>
        <v>0</v>
      </c>
      <c r="E17" s="31">
        <f>SUM(C17:D17)</f>
        <v>0</v>
      </c>
      <c r="F17" s="33" t="s">
        <v>26</v>
      </c>
      <c r="G17" s="31">
        <f>SUM(G14+G15-G16)</f>
        <v>0</v>
      </c>
      <c r="H17" s="48" t="s">
        <v>26</v>
      </c>
      <c r="I17" s="49"/>
      <c r="J17" s="34">
        <f>SUM(J14+J15-J16)</f>
        <v>0</v>
      </c>
    </row>
    <row r="18" spans="1:10" x14ac:dyDescent="0.25">
      <c r="A18" s="5" t="s">
        <v>30</v>
      </c>
      <c r="B18" s="9" t="s">
        <v>12</v>
      </c>
      <c r="C18" s="31">
        <f>C13-(C14+C15-C11)</f>
        <v>0</v>
      </c>
      <c r="D18" s="31">
        <f>D13-(D14+D15-D11)</f>
        <v>0</v>
      </c>
      <c r="E18" s="31">
        <f>SUM(C18:D18)</f>
        <v>0</v>
      </c>
      <c r="F18" s="9" t="s">
        <v>12</v>
      </c>
      <c r="G18" s="31">
        <f>G13-(G14+G15-G11)</f>
        <v>0</v>
      </c>
      <c r="H18" s="48" t="s">
        <v>12</v>
      </c>
      <c r="I18" s="49"/>
      <c r="J18" s="34">
        <f>J13-(J14+J15-J11)</f>
        <v>0</v>
      </c>
    </row>
    <row r="19" spans="1:10" ht="15.75" thickBot="1" x14ac:dyDescent="0.3">
      <c r="A19" s="5" t="s">
        <v>31</v>
      </c>
      <c r="B19" s="35" t="s">
        <v>13</v>
      </c>
      <c r="C19" s="36">
        <f>IFERROR(C18/C13,0)</f>
        <v>0</v>
      </c>
      <c r="D19" s="36">
        <f>IFERROR(D18/D13,0)</f>
        <v>0</v>
      </c>
      <c r="E19" s="36">
        <f>IFERROR(E18/E13,0)</f>
        <v>0</v>
      </c>
      <c r="F19" s="35" t="s">
        <v>13</v>
      </c>
      <c r="G19" s="36">
        <f>IFERROR(G18/G13,0)</f>
        <v>0</v>
      </c>
      <c r="H19" s="55" t="s">
        <v>13</v>
      </c>
      <c r="I19" s="56"/>
      <c r="J19" s="37">
        <f>IFERROR(J18/J13,0)</f>
        <v>0</v>
      </c>
    </row>
    <row r="20" spans="1:10" x14ac:dyDescent="0.25">
      <c r="A20" s="44" t="s">
        <v>35</v>
      </c>
      <c r="B20" s="45" t="s">
        <v>36</v>
      </c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 t="s">
        <v>41</v>
      </c>
      <c r="B21" s="46">
        <v>44622</v>
      </c>
      <c r="C21" s="11"/>
      <c r="D21" s="11"/>
      <c r="E21" s="11"/>
      <c r="F21" s="11"/>
      <c r="G21" s="11"/>
      <c r="H21" s="11"/>
      <c r="I21" s="11"/>
      <c r="J21" s="11"/>
    </row>
  </sheetData>
  <sheetProtection algorithmName="SHA-512" hashValue="5VwWNrmKO+TyiuoiFVNwFPYvyCWlvNciOK4wspYhSJWjd61tOhGZPd0WPX2waZdQv0QUD+SJJ76XZLuD2ZKLFA==" saltValue="GqWBvuDqPZqETiiEeQFBKg==" spinCount="100000" sheet="1" objects="1" scenarios="1" selectLockedCells="1"/>
  <mergeCells count="17">
    <mergeCell ref="H15:I15"/>
    <mergeCell ref="B1:F1"/>
    <mergeCell ref="H18:I18"/>
    <mergeCell ref="E3:F3"/>
    <mergeCell ref="B2:F2"/>
    <mergeCell ref="H19:I19"/>
    <mergeCell ref="H5:I5"/>
    <mergeCell ref="H6:I6"/>
    <mergeCell ref="H7:I7"/>
    <mergeCell ref="H8:I8"/>
    <mergeCell ref="H9:I9"/>
    <mergeCell ref="H16:I16"/>
    <mergeCell ref="H17:I17"/>
    <mergeCell ref="H13:I13"/>
    <mergeCell ref="H10:I10"/>
    <mergeCell ref="H11:I11"/>
    <mergeCell ref="H14:I14"/>
  </mergeCells>
  <pageMargins left="0" right="0" top="0" bottom="0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Company>Wal-Mart Stores,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djcoole</dc:creator>
  <cp:lastModifiedBy>Tom Scott - jtscott.s01458</cp:lastModifiedBy>
  <cp:lastPrinted>2016-02-16T22:26:32Z</cp:lastPrinted>
  <dcterms:created xsi:type="dcterms:W3CDTF">2014-09-22T19:12:07Z</dcterms:created>
  <dcterms:modified xsi:type="dcterms:W3CDTF">2026-06-17T21:13:54Z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208465713</vt:i4>
  </property>
  <property fmtid="{D5CDD505-2E9C-101B-9397-08002B2CF9AE}" pid="3" name="_NewReviewCycle">
    <vt:lpwstr/>
  </property>
  <property fmtid="{D5CDD505-2E9C-101B-9397-08002B2CF9AE}" pid="4" name="_EmailSubject">
    <vt:lpwstr>URGENT: WIRE Update</vt:lpwstr>
  </property>
  <property fmtid="{D5CDD505-2E9C-101B-9397-08002B2CF9AE}" pid="5" name="_AuthorEmail">
    <vt:lpwstr>latasha.hughes@walmart.com</vt:lpwstr>
  </property>
  <property fmtid="{D5CDD505-2E9C-101B-9397-08002B2CF9AE}" pid="6" name="_AuthorEmailDisplayName">
    <vt:lpwstr>Latasha Tosh</vt:lpwstr>
  </property>
  <property fmtid="{D5CDD505-2E9C-101B-9397-08002B2CF9AE}" pid="7" name="_PreviousAdHocReviewCycleID">
    <vt:i4>-1220444925</vt:i4>
  </property>
  <property fmtid="{D5CDD505-2E9C-101B-9397-08002B2CF9AE}" pid="8" name="_ReviewingToolsShownOnce">
    <vt:lpwstr/>
  </property>
</Properties>
</file>